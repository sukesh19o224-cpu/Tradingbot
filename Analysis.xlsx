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thik/"/>
    </mc:Choice>
  </mc:AlternateContent>
  <xr:revisionPtr revIDLastSave="0" documentId="8_{4FEAE313-B919-2749-A132-A3424D8F8C75}" xr6:coauthVersionLast="47" xr6:coauthVersionMax="47" xr10:uidLastSave="{00000000-0000-0000-0000-000000000000}"/>
  <bookViews>
    <workbookView xWindow="0" yWindow="0" windowWidth="28800" windowHeight="18000" xr2:uid="{CD5A7B08-FEC5-1449-B5FB-F81C3D9CD4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15" i="1"/>
  <c r="L7" i="1"/>
  <c r="J7" i="1"/>
  <c r="J15" i="1"/>
  <c r="J17" i="1"/>
  <c r="J19" i="1"/>
  <c r="J21" i="1"/>
  <c r="J11" i="1"/>
  <c r="J13" i="1"/>
  <c r="L13" i="1" s="1"/>
  <c r="J9" i="1"/>
  <c r="K5" i="1"/>
  <c r="J4" i="1"/>
  <c r="J5" i="1" s="1"/>
  <c r="E7" i="1"/>
  <c r="E9" i="1"/>
  <c r="E11" i="1"/>
  <c r="E13" i="1"/>
  <c r="E15" i="1"/>
  <c r="E17" i="1"/>
  <c r="E19" i="1"/>
  <c r="E21" i="1"/>
  <c r="E3" i="1"/>
  <c r="L9" i="1" l="1"/>
  <c r="L5" i="1"/>
</calcChain>
</file>

<file path=xl/sharedStrings.xml><?xml version="1.0" encoding="utf-8"?>
<sst xmlns="http://schemas.openxmlformats.org/spreadsheetml/2006/main" count="23" uniqueCount="23">
  <si>
    <t>STOCKS</t>
  </si>
  <si>
    <t>BUY PRICE</t>
  </si>
  <si>
    <t>SELL PRICE</t>
  </si>
  <si>
    <t>PL  PERCENTAGE</t>
  </si>
  <si>
    <t>BUY DATE</t>
  </si>
  <si>
    <t>SELL DATE</t>
  </si>
  <si>
    <t>ANURAS</t>
  </si>
  <si>
    <t>HINDULCO</t>
  </si>
  <si>
    <t>KOTAKBANK</t>
  </si>
  <si>
    <t>LUPIN</t>
  </si>
  <si>
    <t>SIEMENS</t>
  </si>
  <si>
    <t>NATIONALUM</t>
  </si>
  <si>
    <t>HOLD DAYS</t>
  </si>
  <si>
    <t>SELL QUANTITY</t>
  </si>
  <si>
    <t>BUY QUANTITY</t>
  </si>
  <si>
    <t>TOT PRICE</t>
  </si>
  <si>
    <t>TAX</t>
  </si>
  <si>
    <t>TOT PL</t>
  </si>
  <si>
    <t>TOT SELL PRICE</t>
  </si>
  <si>
    <t>ECLERX</t>
  </si>
  <si>
    <t>TOTAL:</t>
  </si>
  <si>
    <t>EICHERMOT</t>
  </si>
  <si>
    <t>INFY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</si>
</sst>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 tint="4.9989318521683403E-2"/>
      <name val="Aptos Narrow (Body)"/>
    </font>
    <font>
      <b/>
      <sz val="12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01AB-E926-2141-814D-3953F55E470A}">
  <dimension ref="A1:M43"/>
  <sheetViews>
    <sheetView tabSelected="1" zoomScale="90" workbookViewId="0">
      <selection activeCell="H29" sqref="H29"/>
    </sheetView>
  </sheetViews>
  <sheetFormatPr baseColWidth="10" defaultRowHeight="16" x14ac:dyDescent="0.2"/>
  <cols>
    <col min="1" max="1" width="17" customWidth="1"/>
    <col min="2" max="2" width="16.1640625" customWidth="1"/>
    <col min="3" max="3" width="16.83203125" customWidth="1"/>
    <col min="4" max="4" width="16" customWidth="1"/>
    <col min="5" max="6" width="17" customWidth="1"/>
    <col min="7" max="11" width="17.5" customWidth="1"/>
    <col min="12" max="12" width="19.33203125" customWidth="1"/>
    <col min="13" max="13" width="19.1640625" customWidth="1"/>
    <col min="14" max="15" width="21.6640625" customWidth="1"/>
    <col min="16" max="16" width="21.5" customWidth="1"/>
    <col min="17" max="17" width="21.6640625" customWidth="1"/>
  </cols>
  <sheetData>
    <row r="1" spans="1:13" x14ac:dyDescent="0.2">
      <c r="A1" s="1" t="s">
        <v>0</v>
      </c>
      <c r="B1" s="1" t="s">
        <v>4</v>
      </c>
      <c r="C1" s="2" t="s">
        <v>14</v>
      </c>
      <c r="D1" s="2" t="s">
        <v>1</v>
      </c>
      <c r="E1" s="2" t="s">
        <v>15</v>
      </c>
      <c r="F1" s="2" t="s">
        <v>12</v>
      </c>
      <c r="G1" s="2" t="s">
        <v>5</v>
      </c>
      <c r="H1" s="2" t="s">
        <v>13</v>
      </c>
      <c r="I1" s="2" t="s">
        <v>2</v>
      </c>
      <c r="J1" s="2" t="s">
        <v>18</v>
      </c>
      <c r="K1" s="2" t="s">
        <v>16</v>
      </c>
      <c r="L1" s="2" t="s">
        <v>17</v>
      </c>
      <c r="M1" s="2" t="s">
        <v>3</v>
      </c>
    </row>
    <row r="3" spans="1:13" x14ac:dyDescent="0.2">
      <c r="A3" s="3" t="s">
        <v>6</v>
      </c>
      <c r="B3" s="4">
        <v>45999</v>
      </c>
      <c r="C3" s="3">
        <v>6</v>
      </c>
      <c r="D3" s="3">
        <v>1247</v>
      </c>
      <c r="E3" s="3">
        <f>PRODUCT(D3,C3)</f>
        <v>7482</v>
      </c>
      <c r="F3" s="3">
        <v>2</v>
      </c>
      <c r="G3" s="4">
        <v>46001</v>
      </c>
      <c r="H3" s="5">
        <v>1</v>
      </c>
      <c r="I3" s="3">
        <v>1322.9</v>
      </c>
      <c r="J3" s="3">
        <v>1322.9</v>
      </c>
      <c r="K3" s="3">
        <v>2.8418999999999999</v>
      </c>
      <c r="L3" s="3"/>
      <c r="M3" s="3"/>
    </row>
    <row r="4" spans="1:13" x14ac:dyDescent="0.2">
      <c r="A4" s="3"/>
      <c r="B4" s="4"/>
      <c r="C4" s="3"/>
      <c r="D4" s="3"/>
      <c r="E4" s="3"/>
      <c r="F4" s="3">
        <v>2</v>
      </c>
      <c r="G4" s="4">
        <v>46001</v>
      </c>
      <c r="H4" s="5">
        <v>5</v>
      </c>
      <c r="I4" s="3">
        <v>1304.0999999999999</v>
      </c>
      <c r="J4" s="3">
        <f>H4*I4</f>
        <v>6520.5</v>
      </c>
      <c r="K4" s="3">
        <v>14.113</v>
      </c>
      <c r="L4" s="3"/>
      <c r="M4" s="3"/>
    </row>
    <row r="5" spans="1:13" x14ac:dyDescent="0.2">
      <c r="A5" s="3"/>
      <c r="B5" s="4"/>
      <c r="C5" s="3"/>
      <c r="D5" s="3"/>
      <c r="E5" s="3"/>
      <c r="F5" s="3"/>
      <c r="G5" s="4"/>
      <c r="H5" s="6"/>
      <c r="I5" s="7" t="s">
        <v>20</v>
      </c>
      <c r="J5" s="3">
        <f>SUM(J3:J4)</f>
        <v>7843.4</v>
      </c>
      <c r="K5" s="3">
        <f>SUM(K3:K4)</f>
        <v>16.954899999999999</v>
      </c>
      <c r="L5" s="3">
        <f>J5-E3-K5</f>
        <v>344.44509999999963</v>
      </c>
      <c r="M5" s="3"/>
    </row>
    <row r="6" spans="1:13" x14ac:dyDescent="0.2">
      <c r="A6" s="3"/>
      <c r="B6" s="4"/>
      <c r="C6" s="3"/>
      <c r="D6" s="3"/>
      <c r="E6" s="3"/>
      <c r="F6" s="3"/>
      <c r="G6" s="3"/>
      <c r="H6" s="5"/>
      <c r="I6" s="3"/>
      <c r="J6" s="3"/>
      <c r="K6" s="3"/>
      <c r="L6" s="3"/>
      <c r="M6" s="3"/>
    </row>
    <row r="7" spans="1:13" x14ac:dyDescent="0.2">
      <c r="A7" s="3" t="s">
        <v>7</v>
      </c>
      <c r="B7" s="4">
        <v>45999</v>
      </c>
      <c r="C7" s="3">
        <v>9</v>
      </c>
      <c r="D7" s="3">
        <v>830.5</v>
      </c>
      <c r="E7" s="3">
        <f t="shared" ref="E7:E35" si="0">PRODUCT(D7,C7)</f>
        <v>7474.5</v>
      </c>
      <c r="F7" s="3">
        <v>9</v>
      </c>
      <c r="G7" s="4">
        <v>46008</v>
      </c>
      <c r="H7" s="3">
        <v>9</v>
      </c>
      <c r="I7" s="5">
        <v>848.1</v>
      </c>
      <c r="J7" s="3">
        <f>H7*I7</f>
        <v>7632.9000000000005</v>
      </c>
      <c r="K7" s="3">
        <v>16.97</v>
      </c>
      <c r="L7" s="3">
        <f>J7-E7-K7</f>
        <v>141.43000000000055</v>
      </c>
      <c r="M7" s="3"/>
    </row>
    <row r="8" spans="1:13" x14ac:dyDescent="0.2">
      <c r="A8" s="3"/>
      <c r="B8" s="4"/>
      <c r="C8" s="3"/>
      <c r="D8" s="3"/>
      <c r="E8" s="3"/>
      <c r="F8" s="3"/>
      <c r="G8" s="3"/>
      <c r="H8" s="5"/>
      <c r="I8" s="3"/>
      <c r="J8" s="3"/>
      <c r="K8" s="3"/>
      <c r="L8" s="3"/>
      <c r="M8" s="3"/>
    </row>
    <row r="9" spans="1:13" x14ac:dyDescent="0.2">
      <c r="A9" s="3" t="s">
        <v>8</v>
      </c>
      <c r="B9" s="4">
        <v>45999</v>
      </c>
      <c r="C9" s="3">
        <v>3</v>
      </c>
      <c r="D9" s="3">
        <v>2156</v>
      </c>
      <c r="E9" s="3">
        <f t="shared" si="0"/>
        <v>6468</v>
      </c>
      <c r="F9" s="3">
        <v>8</v>
      </c>
      <c r="G9" s="4">
        <v>46007</v>
      </c>
      <c r="H9" s="5">
        <v>3</v>
      </c>
      <c r="I9" s="3">
        <v>2183.9</v>
      </c>
      <c r="J9" s="3">
        <f>PRODUCT(H9,I9)</f>
        <v>6551.7000000000007</v>
      </c>
      <c r="K9" s="3">
        <v>14.883800000000001</v>
      </c>
      <c r="L9" s="3">
        <f>J9-E9-K9</f>
        <v>68.81620000000072</v>
      </c>
      <c r="M9" s="3"/>
    </row>
    <row r="10" spans="1:13" x14ac:dyDescent="0.2">
      <c r="A10" s="3"/>
      <c r="B10" s="4"/>
      <c r="C10" s="3"/>
      <c r="D10" s="3"/>
      <c r="E10" s="3"/>
      <c r="F10" s="3"/>
      <c r="G10" s="4"/>
      <c r="H10" s="5"/>
      <c r="I10" s="3"/>
      <c r="J10" s="3"/>
      <c r="K10" s="3"/>
      <c r="L10" s="3"/>
      <c r="M10" s="3"/>
    </row>
    <row r="11" spans="1:13" x14ac:dyDescent="0.2">
      <c r="A11" s="3" t="s">
        <v>9</v>
      </c>
      <c r="B11" s="4">
        <v>45999</v>
      </c>
      <c r="C11" s="3">
        <v>3</v>
      </c>
      <c r="D11" s="3">
        <v>2093.5</v>
      </c>
      <c r="E11" s="3">
        <f t="shared" si="0"/>
        <v>6280.5</v>
      </c>
      <c r="F11" s="3"/>
      <c r="G11" s="3"/>
      <c r="H11" s="5"/>
      <c r="I11" s="3"/>
      <c r="J11" s="3">
        <f t="shared" ref="J11:J38" si="1">PRODUCT(H11,I11)</f>
        <v>0</v>
      </c>
      <c r="K11" s="3"/>
      <c r="L11" s="3"/>
      <c r="M11" s="3"/>
    </row>
    <row r="12" spans="1:13" x14ac:dyDescent="0.2">
      <c r="A12" s="3"/>
      <c r="B12" s="4"/>
      <c r="C12" s="3"/>
      <c r="D12" s="3"/>
      <c r="E12" s="3"/>
      <c r="F12" s="3"/>
      <c r="G12" s="3"/>
      <c r="H12" s="5"/>
      <c r="I12" s="3"/>
      <c r="J12" s="3"/>
      <c r="K12" s="3"/>
      <c r="L12" s="3"/>
      <c r="M12" s="3"/>
    </row>
    <row r="13" spans="1:13" x14ac:dyDescent="0.2">
      <c r="A13" s="3" t="s">
        <v>10</v>
      </c>
      <c r="B13" s="4">
        <v>45999</v>
      </c>
      <c r="C13" s="3">
        <v>2</v>
      </c>
      <c r="D13" s="3">
        <v>3309.6</v>
      </c>
      <c r="E13" s="3">
        <f t="shared" si="0"/>
        <v>6619.2</v>
      </c>
      <c r="F13" s="3">
        <v>1</v>
      </c>
      <c r="G13" s="4">
        <v>46000</v>
      </c>
      <c r="H13" s="5">
        <v>2</v>
      </c>
      <c r="I13" s="3">
        <v>3139.2</v>
      </c>
      <c r="J13" s="3">
        <f t="shared" si="1"/>
        <v>6278.4</v>
      </c>
      <c r="K13" s="3">
        <v>14.419</v>
      </c>
      <c r="L13" s="3">
        <f>J13-E13-K13</f>
        <v>-355.21900000000016</v>
      </c>
      <c r="M13" s="3"/>
    </row>
    <row r="14" spans="1:13" x14ac:dyDescent="0.2">
      <c r="A14" s="3"/>
      <c r="B14" s="4"/>
      <c r="C14" s="3"/>
      <c r="D14" s="3"/>
      <c r="E14" s="3"/>
      <c r="F14" s="3"/>
      <c r="G14" s="4"/>
      <c r="H14" s="5"/>
      <c r="I14" s="3"/>
      <c r="J14" s="3"/>
      <c r="K14" s="3"/>
      <c r="L14" s="3"/>
      <c r="M14" s="3"/>
    </row>
    <row r="15" spans="1:13" x14ac:dyDescent="0.2">
      <c r="A15" s="3" t="s">
        <v>11</v>
      </c>
      <c r="B15" s="4">
        <v>45999</v>
      </c>
      <c r="C15" s="3">
        <v>28</v>
      </c>
      <c r="D15" s="3">
        <v>273.8</v>
      </c>
      <c r="E15" s="3">
        <f t="shared" si="0"/>
        <v>7666.4000000000005</v>
      </c>
      <c r="F15" s="3">
        <v>9</v>
      </c>
      <c r="G15" s="4">
        <v>46008</v>
      </c>
      <c r="H15" s="5">
        <v>28</v>
      </c>
      <c r="I15" s="3">
        <v>279.10000000000002</v>
      </c>
      <c r="J15" s="3">
        <f t="shared" si="1"/>
        <v>7814.8000000000011</v>
      </c>
      <c r="K15" s="3">
        <v>17.37</v>
      </c>
      <c r="L15" s="3">
        <f>J15-E15-K15</f>
        <v>131.03000000000054</v>
      </c>
      <c r="M15" s="3"/>
    </row>
    <row r="16" spans="1:13" x14ac:dyDescent="0.2">
      <c r="A16" s="3"/>
      <c r="B16" s="4"/>
      <c r="C16" s="3"/>
      <c r="D16" s="3"/>
      <c r="E16" s="3"/>
      <c r="F16" s="3"/>
      <c r="G16" s="3"/>
      <c r="H16" s="5"/>
      <c r="I16" s="3"/>
      <c r="J16" s="3"/>
      <c r="K16" s="3"/>
      <c r="L16" s="3"/>
      <c r="M16" s="3"/>
    </row>
    <row r="17" spans="1:13" x14ac:dyDescent="0.2">
      <c r="A17" s="3" t="s">
        <v>19</v>
      </c>
      <c r="B17" s="4">
        <v>46000</v>
      </c>
      <c r="C17" s="3">
        <v>1</v>
      </c>
      <c r="D17" s="3">
        <v>4647</v>
      </c>
      <c r="E17" s="3">
        <f t="shared" si="0"/>
        <v>4647</v>
      </c>
      <c r="F17" s="3"/>
      <c r="G17" s="3"/>
      <c r="H17" s="5"/>
      <c r="I17" s="3"/>
      <c r="J17" s="3">
        <f t="shared" si="1"/>
        <v>0</v>
      </c>
      <c r="K17" s="3"/>
      <c r="L17" s="3"/>
      <c r="M17" s="3"/>
    </row>
    <row r="18" spans="1:13" x14ac:dyDescent="0.2">
      <c r="A18" s="3"/>
      <c r="B18" s="4"/>
      <c r="C18" s="3"/>
      <c r="D18" s="3"/>
      <c r="E18" s="3"/>
      <c r="F18" s="3"/>
      <c r="G18" s="3"/>
      <c r="H18" s="5"/>
      <c r="I18" s="3"/>
      <c r="J18" s="3"/>
      <c r="K18" s="3"/>
      <c r="L18" s="3"/>
      <c r="M18" s="3"/>
    </row>
    <row r="19" spans="1:13" x14ac:dyDescent="0.2">
      <c r="A19" s="3" t="s">
        <v>21</v>
      </c>
      <c r="B19" s="4">
        <v>46001</v>
      </c>
      <c r="C19" s="3">
        <v>1</v>
      </c>
      <c r="D19" s="3">
        <v>7179</v>
      </c>
      <c r="E19" s="3">
        <f t="shared" si="0"/>
        <v>7179</v>
      </c>
      <c r="F19" s="3"/>
      <c r="G19" s="3"/>
      <c r="H19" s="5"/>
      <c r="I19" s="3"/>
      <c r="J19" s="3">
        <f t="shared" si="1"/>
        <v>0</v>
      </c>
      <c r="K19" s="3"/>
      <c r="L19" s="3"/>
      <c r="M19" s="3"/>
    </row>
    <row r="20" spans="1:13" x14ac:dyDescent="0.2">
      <c r="A20" s="3"/>
      <c r="B20" s="4"/>
      <c r="C20" s="3"/>
      <c r="D20" s="3"/>
      <c r="E20" s="3"/>
      <c r="F20" s="3"/>
      <c r="G20" s="3"/>
      <c r="H20" s="5"/>
      <c r="I20" s="3"/>
      <c r="J20" s="3"/>
      <c r="K20" s="3"/>
      <c r="L20" s="3"/>
      <c r="M20" s="3"/>
    </row>
    <row r="21" spans="1:13" x14ac:dyDescent="0.2">
      <c r="A21" s="3" t="s">
        <v>22</v>
      </c>
      <c r="B21" s="4">
        <v>46002</v>
      </c>
      <c r="C21" s="3">
        <v>6</v>
      </c>
      <c r="D21" s="3">
        <v>1595.9</v>
      </c>
      <c r="E21" s="3">
        <f t="shared" si="0"/>
        <v>9575.4000000000015</v>
      </c>
      <c r="F21" s="3"/>
      <c r="G21" s="3"/>
      <c r="H21" s="5"/>
      <c r="I21" s="3"/>
      <c r="J21" s="3">
        <f t="shared" si="1"/>
        <v>0</v>
      </c>
      <c r="K21" s="3"/>
      <c r="L21" s="3"/>
      <c r="M21" s="3"/>
    </row>
    <row r="22" spans="1:13" x14ac:dyDescent="0.2">
      <c r="A22" s="3"/>
      <c r="B22" s="3"/>
      <c r="C22" s="3"/>
      <c r="D22" s="3"/>
      <c r="E22" s="3"/>
      <c r="F22" s="3"/>
      <c r="G22" s="3"/>
      <c r="H22" s="5"/>
      <c r="I22" s="3"/>
      <c r="J22" s="3"/>
      <c r="K22" s="3"/>
      <c r="L22" s="3">
        <f>SUM(L3:L21)</f>
        <v>330.50230000000124</v>
      </c>
      <c r="M22" s="3"/>
    </row>
    <row r="23" spans="1:13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Karthik L P  21BTT032</dc:creator>
  <cp:lastModifiedBy>Shri Karthik L P  21BTT032</cp:lastModifiedBy>
  <dcterms:created xsi:type="dcterms:W3CDTF">2025-12-17T14:06:20Z</dcterms:created>
  <dcterms:modified xsi:type="dcterms:W3CDTF">2025-12-17T17:18:23Z</dcterms:modified>
</cp:coreProperties>
</file>